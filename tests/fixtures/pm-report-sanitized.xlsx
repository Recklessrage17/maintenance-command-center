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chine Pm Tracker" state="visible" r:id="rId4"/>
    <sheet sheetId="2" name="PMHistory" state="visible" r:id="rId5"/>
    <sheet sheetId="3" name="Reference Only" state="visible" r:id="rId6"/>
  </sheets>
  <calcPr calcId="171027"/>
</workbook>
</file>

<file path=xl/sharedStrings.xml><?xml version="1.0" encoding="utf-8"?>
<sst xmlns="http://schemas.openxmlformats.org/spreadsheetml/2006/main" count="52" uniqueCount="38">
  <si>
    <t>SANITIZED PM REPORT FIXTURE</t>
  </si>
  <si>
    <t>Asset Number</t>
  </si>
  <si>
    <t>Asset Name</t>
  </si>
  <si>
    <t>PM Task</t>
  </si>
  <si>
    <t>Interval Type</t>
  </si>
  <si>
    <t>Interval Value</t>
  </si>
  <si>
    <t>Last Completed</t>
  </si>
  <si>
    <t>Current</t>
  </si>
  <si>
    <t>Remaining</t>
  </si>
  <si>
    <t>Status</t>
  </si>
  <si>
    <t>M-100</t>
  </si>
  <si>
    <t>Sanitized Press</t>
  </si>
  <si>
    <t>Hydraulic service</t>
  </si>
  <si>
    <t>Hourly</t>
  </si>
  <si>
    <t>Inspect clamp cycles</t>
  </si>
  <si>
    <t>Cycles</t>
  </si>
  <si>
    <t>Inspect guards</t>
  </si>
  <si>
    <t>Days</t>
  </si>
  <si>
    <t>Due Soon</t>
  </si>
  <si>
    <t>Annual safety review</t>
  </si>
  <si>
    <t>Annual</t>
  </si>
  <si>
    <t>SANITIZED PM COMPLETION HISTORY</t>
  </si>
  <si>
    <t>Work Order Number</t>
  </si>
  <si>
    <t>Task Status</t>
  </si>
  <si>
    <t>Start Date</t>
  </si>
  <si>
    <t>End Date</t>
  </si>
  <si>
    <t>Work Order Type</t>
  </si>
  <si>
    <t>Performed By</t>
  </si>
  <si>
    <t>Task Type</t>
  </si>
  <si>
    <t>Task Note</t>
  </si>
  <si>
    <t>Audit Helper</t>
  </si>
  <si>
    <t>WO-SAN-001</t>
  </si>
  <si>
    <t>Completed</t>
  </si>
  <si>
    <t>Preventive Maintenance</t>
  </si>
  <si>
    <t>Sanitized Technician</t>
  </si>
  <si>
    <t>PM completed. No issues found.</t>
  </si>
  <si>
    <t>UNRELATED SHEET — MUST REMAIN UNCHANGED</t>
  </si>
  <si>
    <t>Helper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</si>
</sst>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yyyy-mm-dd"/>
  </numFmts>
  <fonts count="4" x14ac:knownFonts="1">
    <font>
      <color theme="1"/>
      <family val="2"/>
      <scheme val="minor"/>
      <sz val="11"/>
      <name val="Calibri"/>
    </font>
    <font>
      <b/>
      <color rgb="FFFFFFFF"/>
      <sz val="16"/>
      <name val="Aptos Display"/>
    </font>
    <font>
      <b/>
      <color rgb="FFFFFFFF"/>
    </font>
    <font>
      <b/>
      <color rgb="FFFFFFFF"/>
      <sz val="15"/>
    </font>
  </fonts>
  <fills count="5">
    <fill>
      <patternFill patternType="none"/>
    </fill>
    <fill>
      <patternFill patternType="gray125"/>
    </fill>
    <fill>
      <patternFill patternType="solid">
        <fgColor rgb="FF17445C"/>
      </patternFill>
    </fill>
    <fill>
      <patternFill patternType="solid">
        <fgColor rgb="FF087E91"/>
      </patternFill>
    </fill>
    <fill>
      <patternFill patternType="solid">
        <fgColor rgb="FF6A3C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ED8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3" fillId="2" borderId="0" xfId="0" applyFont="1" applyFill="1" applyAlignment="1">
      <alignment horizont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MHistoryTable" displayName="PMHistoryTable" ref="A2:K3" totalsRowShown="1" headerRowCount="1">
  <autoFilter ref="A2:K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Asset Number" totalsRowLabel="Total"/>
    <tableColumn id="2" name="Work Order Number" totalsRowFunction="none"/>
    <tableColumn id="3" name="Task Status" totalsRowFunction="none"/>
    <tableColumn id="4" name="Start Date" totalsRowFunction="none"/>
    <tableColumn id="5" name="End Date" totalsRowFunction="none"/>
    <tableColumn id="6" name="Work Order Type" totalsRowFunction="none"/>
    <tableColumn id="7" name="Performed By" totalsRowFunction="none"/>
    <tableColumn id="8" name="Interval Type" totalsRowFunction="none"/>
    <tableColumn id="9" name="Task Type" totalsRowFunction="none"/>
    <tableColumn id="10" name="Task Note" totalsRowFunction="none"/>
    <tableColumn id="11" name="Audit Helper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pane ySplit="3" topLeftCell="A4" activePane="bottomLeft" state="frozen"/>
      <selection pane="bottomLeft"/>
    </sheetView>
  </sheetViews>
  <sheetFormatPr defaultRowHeight="19" outlineLevelRow="0" outlineLevelCol="0" x14ac:dyDescent="55" customHeight="1"/>
  <cols>
    <col min="1" max="1" width="16" customWidth="1"/>
    <col min="2" max="2" width="24" customWidth="1"/>
    <col min="3" max="3" width="34" customWidth="1"/>
    <col min="4" max="5" width="16" customWidth="1"/>
    <col min="6" max="8" width="18" customWidth="1"/>
    <col min="9" max="9" width="16" customWidth="1"/>
  </cols>
  <sheetData>
    <row r="1" ht="28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3" spans="1:9" s="2" customForma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ht="22" customHeight="1" spans="1:9" x14ac:dyDescent="0.25">
      <c r="A4" s="3" t="s">
        <v>10</v>
      </c>
      <c r="B4" s="3" t="s">
        <v>11</v>
      </c>
      <c r="C4" s="3" t="s">
        <v>12</v>
      </c>
      <c r="D4" s="3" t="s">
        <v>13</v>
      </c>
      <c r="E4" s="3">
        <v>3000</v>
      </c>
      <c r="F4" s="4">
        <v>3456</v>
      </c>
      <c r="G4" s="4">
        <v>3560</v>
      </c>
      <c r="H4" s="4">
        <f>F4+E4-G4</f>
        <v>2896</v>
      </c>
      <c r="I4" s="3" t="s">
        <v>7</v>
      </c>
    </row>
    <row r="5" ht="22" customHeight="1" spans="1:9" x14ac:dyDescent="0.25">
      <c r="A5" s="3" t="s">
        <v>10</v>
      </c>
      <c r="B5" s="3" t="s">
        <v>11</v>
      </c>
      <c r="C5" s="3" t="s">
        <v>14</v>
      </c>
      <c r="D5" s="3" t="s">
        <v>15</v>
      </c>
      <c r="E5" s="3">
        <v>10000</v>
      </c>
      <c r="F5" s="4">
        <v>120000</v>
      </c>
      <c r="G5" s="4">
        <v>125000</v>
      </c>
      <c r="H5" s="4">
        <f>F5+E5-G5</f>
        <v>5000</v>
      </c>
      <c r="I5" s="3" t="s">
        <v>7</v>
      </c>
    </row>
    <row r="6" ht="22" customHeight="1" spans="1:9" x14ac:dyDescent="0.25">
      <c r="A6" s="3" t="s">
        <v>10</v>
      </c>
      <c r="B6" s="3" t="s">
        <v>11</v>
      </c>
      <c r="C6" s="3" t="s">
        <v>16</v>
      </c>
      <c r="D6" s="3" t="s">
        <v>17</v>
      </c>
      <c r="E6" s="3">
        <v>30</v>
      </c>
      <c r="F6" s="5">
        <v>46204.5</v>
      </c>
      <c r="G6" s="5">
        <v>46223.5</v>
      </c>
      <c r="H6" s="4">
        <f>F6+E6-G6</f>
        <v>11</v>
      </c>
      <c r="I6" s="3" t="s">
        <v>18</v>
      </c>
    </row>
    <row r="7" ht="22" customHeight="1" spans="1:9" x14ac:dyDescent="0.25">
      <c r="A7" s="3" t="s">
        <v>10</v>
      </c>
      <c r="B7" s="3" t="s">
        <v>11</v>
      </c>
      <c r="C7" s="3" t="s">
        <v>19</v>
      </c>
      <c r="D7" s="3" t="s">
        <v>20</v>
      </c>
      <c r="E7" s="3">
        <v>1</v>
      </c>
      <c r="F7" s="5">
        <v>45870.5</v>
      </c>
      <c r="G7" s="5">
        <v>46223.5</v>
      </c>
      <c r="H7" s="4">
        <f>EDATE(F7,12)-G7</f>
        <v>12</v>
      </c>
      <c r="I7" s="3" t="s">
        <v>18</v>
      </c>
    </row>
  </sheetData>
  <autoFilter ref="A3:I7"/>
  <mergeCells count="1">
    <mergeCell ref="A1:I1"/>
  </mergeCells>
  <dataValidations count="1">
    <dataValidation type="list" sqref="I4:I7">
      <formula1>"Current,Due Soon,Due Now,Overdue"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16" customWidth="1"/>
    <col min="4" max="5" width="14" customWidth="1"/>
    <col min="6" max="6" width="24" customWidth="1"/>
    <col min="7" max="7" width="20" customWidth="1"/>
    <col min="8" max="8" width="16" customWidth="1"/>
    <col min="9" max="9" width="32" customWidth="1"/>
    <col min="10" max="10" width="52" customWidth="1"/>
    <col min="11" max="11" width="28" customWidth="1"/>
  </cols>
  <sheetData>
    <row r="1" spans="1:11" x14ac:dyDescent="0.25">
      <c r="A1" s="6" t="s">
        <v>21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s="2" customFormat="1" x14ac:dyDescent="0.25">
      <c r="A2" s="2" t="s">
        <v>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2" t="s">
        <v>27</v>
      </c>
      <c r="H2" s="2" t="s">
        <v>4</v>
      </c>
      <c r="I2" s="2" t="s">
        <v>28</v>
      </c>
      <c r="J2" s="2" t="s">
        <v>29</v>
      </c>
      <c r="K2" s="2" t="s">
        <v>30</v>
      </c>
    </row>
    <row r="3" ht="30" customHeight="1" spans="1:11" x14ac:dyDescent="0.25">
      <c r="A3" s="7" t="s">
        <v>10</v>
      </c>
      <c r="B3" s="7" t="s">
        <v>31</v>
      </c>
      <c r="C3" s="7" t="s">
        <v>32</v>
      </c>
      <c r="D3" s="8">
        <v>46174.5</v>
      </c>
      <c r="E3" s="8">
        <v>46174.5</v>
      </c>
      <c r="F3" s="7" t="s">
        <v>33</v>
      </c>
      <c r="G3" s="7" t="s">
        <v>34</v>
      </c>
      <c r="H3" s="7" t="s">
        <v>17</v>
      </c>
      <c r="I3" s="7" t="s">
        <v>16</v>
      </c>
      <c r="J3" s="9" t="s">
        <v>35</v>
      </c>
      <c r="K3" s="7" t="str">
        <f>A3&amp;"-"&amp;B3</f>
        <v>M-100-WO-SAN-001</v>
      </c>
    </row>
  </sheetData>
  <mergeCells count="1">
    <mergeCell ref="A1:K1"/>
  </mergeCells>
  <dataValidations count="1">
    <dataValidation type="list" sqref="C3">
      <formula1>"Completed,Open,Hold"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"/>
  <sheetFormatPr defaultRowHeight="15" outlineLevelRow="0" outlineLevelCol="0" x14ac:dyDescent="55"/>
  <cols>
    <col min="1" max="1" width="32" customWidth="1"/>
  </cols>
  <sheetData>
    <row r="1" ht="27" customHeight="1" spans="1:4" x14ac:dyDescent="0.25">
      <c r="A1" s="10" t="s">
        <v>36</v>
      </c>
      <c r="B1" s="10"/>
      <c r="C1" s="10"/>
      <c r="D1" s="10"/>
    </row>
    <row r="3" spans="1:3" x14ac:dyDescent="0.25">
      <c r="A3" t="s">
        <v>37</v>
      </c>
      <c r="B3">
        <f>1+1</f>
        <v>2</v>
      </c>
    </row>
  </sheetData>
  <mergeCells count="1">
    <mergeCell ref="A1:D1"/>
  </mergeCells>
  <dataValidations count="1">
    <dataValidation type="list" sqref="C3">
      <formula1>"Alpha,Beta,Gamma"</formula1>
    </dataValidation>
  </dataValidations>
  <pageSetup orientation="landscape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Machine Pm Tracker</vt:lpstr>
      <vt:lpstr>PMHistory</vt:lpstr>
      <vt:lpstr>Reference Only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MCC automated test fixture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2026-08-04T14:23:26Z</dcterms:modified>
</cp:coreProperties>
</file>