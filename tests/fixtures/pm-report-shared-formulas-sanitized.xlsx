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Pm Tracker" state="visible" r:id="rId4"/>
    <sheet sheetId="2" name="PMHistory" state="visible" r:id="rId5"/>
    <sheet sheetId="3" name="Reference Only" state="visible" r:id="rId6"/>
  </sheets>
  <definedNames>
    <definedName name="_xlnm.Print_Area" localSheetId="0">'Machine Pm Tracker'!$A1:$G112</definedName>
  </definedNames>
  <calcPr calcId="171027"/>
</workbook>
</file>

<file path=xl/sharedStrings.xml><?xml version="1.0" encoding="utf-8"?>
<sst xmlns="http://schemas.openxmlformats.org/spreadsheetml/2006/main" count="52" uniqueCount="37">
  <si>
    <t>SANITIZED SHARED-FORMULA PM TRACKER</t>
  </si>
  <si>
    <t>Press:</t>
  </si>
  <si>
    <t>1</t>
  </si>
  <si>
    <t/>
  </si>
  <si>
    <t>Sanitized Header Anchor</t>
  </si>
  <si>
    <t>Interval Type</t>
  </si>
  <si>
    <t>Interval Cycles</t>
  </si>
  <si>
    <t>Last Completed Date / Last hourly</t>
  </si>
  <si>
    <t>Today Date / Hourly</t>
  </si>
  <si>
    <t>Due Date</t>
  </si>
  <si>
    <t>Status</t>
  </si>
  <si>
    <t>Task Description</t>
  </si>
  <si>
    <t>Hourly</t>
  </si>
  <si>
    <t>Header discovery task</t>
  </si>
  <si>
    <t>23</t>
  </si>
  <si>
    <t>Sanitized Press 23</t>
  </si>
  <si>
    <t>Absolute helper</t>
  </si>
  <si>
    <t>Sanitized lubrication</t>
  </si>
  <si>
    <t>Sanitized inspection</t>
  </si>
  <si>
    <t>Final sanitized task</t>
  </si>
  <si>
    <t>AssetNo</t>
  </si>
  <si>
    <t>Work order #</t>
  </si>
  <si>
    <t>Task Status</t>
  </si>
  <si>
    <t>Start Date</t>
  </si>
  <si>
    <t>End Date</t>
  </si>
  <si>
    <t>Work Order Type</t>
  </si>
  <si>
    <t>Perform By:</t>
  </si>
  <si>
    <t>Task Type</t>
  </si>
  <si>
    <t>Task Note</t>
  </si>
  <si>
    <t>Press 23</t>
  </si>
  <si>
    <t>WO-SAN-023</t>
  </si>
  <si>
    <t>Completed</t>
  </si>
  <si>
    <t>Preventive Maintenance</t>
  </si>
  <si>
    <t>Sanitized Technician</t>
  </si>
  <si>
    <t>No production data.</t>
  </si>
  <si>
    <t>UNRELATED SANITIZED CONTENT</t>
  </si>
  <si>
    <t>Preserved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</si>
</sst>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b/>
      <color rgb="FFFFFFFF"/>
    </font>
    <font>
      <b/>
      <color rgb="FF17445C"/>
    </font>
  </fonts>
  <fills count="6">
    <fill>
      <patternFill patternType="none"/>
    </fill>
    <fill>
      <patternFill patternType="gray125"/>
    </fill>
    <fill>
      <patternFill patternType="solid">
        <fgColor rgb="FF17445C"/>
      </patternFill>
    </fill>
    <fill>
      <patternFill patternType="solid">
        <fgColor rgb="FF087E91"/>
      </patternFill>
    </fill>
    <fill>
      <patternFill patternType="solid">
        <fgColor rgb="FFDDECF2"/>
      </patternFill>
    </fill>
    <fill>
      <patternFill patternType="solid">
        <fgColor rgb="FF6A3C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E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1" xfId="0" applyBorder="1"/>
    <xf numFmtId="3" fontId="0" fillId="0" borderId="1" xfId="0" applyNumberFormat="1" applyBorder="1"/>
    <xf numFmtId="0" fontId="3" fillId="4" borderId="0" xfId="0" applyFont="1" applyFill="1"/>
    <xf numFmtId="164" fontId="0" fillId="0" borderId="0" xfId="0" applyNumberFormat="1"/>
    <xf numFmtId="0" fontId="2" fillId="5" borderId="0" xfId="0" applyFont="1" applyFill="1"/>
  </cellXfs>
  <cellStyles count="1">
    <cellStyle name="Normal" xfId="0" builtinId="0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nitizedPress23" displayName="SanitizedPress23" ref="A109:G112" totalsRowShown="1" headerRowCount="1">
  <autoFilter ref="A109:G1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haredFormulaHistory" displayName="SharedFormulaHistory" ref="A2:J3" totalsRowShown="1" headerRowCount="1">
  <autoFilter ref="A2:J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AssetNo" totalsRowLabel="Total"/>
    <tableColumn id="2" name="Work order #" totalsRowFunction="none"/>
    <tableColumn id="3" name="Task Status" totalsRowFunction="none"/>
    <tableColumn id="4" name="Start Date" totalsRowFunction="none"/>
    <tableColumn id="5" name="End Date" totalsRowFunction="none"/>
    <tableColumn id="6" name="Work Order Type" totalsRowFunction="none"/>
    <tableColumn id="7" name="Perform By:" totalsRowFunction="none"/>
    <tableColumn id="8" name="Interval Type" totalsRowFunction="none"/>
    <tableColumn id="9" name="Task Type" totalsRowFunction="none"/>
    <tableColumn id="10" name="Task Not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PDF - Work orders/Press 23/WO-SAN-023.pdf" TargetMode="Externa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FormatPr defaultRowHeight="19" outlineLevelRow="0" outlineLevelCol="0" x14ac:dyDescent="55" customHeight="1"/>
  <cols>
    <col min="1" max="1" width="16" customWidth="1"/>
    <col min="2" max="2" width="18" customWidth="1"/>
    <col min="3" max="4" width="24" customWidth="1"/>
    <col min="5" max="6" width="18" customWidth="1"/>
    <col min="7" max="7" width="38" customWidth="1"/>
    <col min="8" max="8" width="14" hidden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7" s="2" customForma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</row>
    <row r="6" ht="22" customHeight="1" spans="1:7" x14ac:dyDescent="0.25">
      <c r="A6" s="3" t="s">
        <v>12</v>
      </c>
      <c r="B6" s="3">
        <v>100</v>
      </c>
      <c r="C6" s="3">
        <v>0</v>
      </c>
      <c r="D6" s="3">
        <v>5</v>
      </c>
      <c r="E6" s="4">
        <f>IF(OR(B6="",C6="",D6=""),"",B6-(D6-C6))</f>
        <v>95</v>
      </c>
      <c r="F6" s="3" t="str">
        <f>IF(E6="","Needs Date",IF(E6&lt;0,"Past Due",IF(E6=0,"Due Today",IF(E6&lt;=7,"Due Soon","OK"))))</f>
        <v>OK</v>
      </c>
      <c r="G6" s="3" t="s">
        <v>13</v>
      </c>
    </row>
    <row r="108" spans="1:4" s="5" customFormat="1" x14ac:dyDescent="0.25">
      <c r="A108" s="5" t="s">
        <v>1</v>
      </c>
      <c r="B108" s="5" t="s">
        <v>14</v>
      </c>
      <c r="C108" s="5" t="s">
        <v>3</v>
      </c>
      <c r="D108" s="5" t="s">
        <v>15</v>
      </c>
    </row>
    <row r="109" spans="1:8" s="2" customFormat="1" x14ac:dyDescent="0.25">
      <c r="A109" s="2" t="s">
        <v>5</v>
      </c>
      <c r="B109" s="2" t="s">
        <v>6</v>
      </c>
      <c r="C109" s="2" t="s">
        <v>7</v>
      </c>
      <c r="D109" s="2" t="s">
        <v>8</v>
      </c>
      <c r="E109" s="2" t="s">
        <v>9</v>
      </c>
      <c r="F109" s="2" t="s">
        <v>10</v>
      </c>
      <c r="G109" s="2" t="s">
        <v>11</v>
      </c>
      <c r="H109" s="2" t="s">
        <v>16</v>
      </c>
    </row>
    <row r="110" ht="22" customHeight="1" spans="1:8" x14ac:dyDescent="0.25">
      <c r="A110" s="3" t="s">
        <v>12</v>
      </c>
      <c r="B110" s="3">
        <v>100</v>
      </c>
      <c r="C110" s="3">
        <v>0</v>
      </c>
      <c r="D110" s="3">
        <v>10</v>
      </c>
      <c r="E110" s="4">
        <f t="shared" ref="E110:E112" si="0">IF(OR(B110="",C110="",D110=""),"",B110-(D110-C110))</f>
        <v>90</v>
      </c>
      <c r="F110" s="3" t="str">
        <f t="shared" ref="F110:F112" si="1">IF(E110="","Needs Date",IF(E110&lt;0,"Past Due",IF(E110=0,"Due Today",IF(E110&lt;=7,"Due Soon","OK"))))</f>
        <v>OK</v>
      </c>
      <c r="G110" s="3" t="s">
        <v>17</v>
      </c>
      <c r="H110">
        <f>B110+$C$6+$D110+E$6</f>
        <v>100</v>
      </c>
    </row>
    <row r="111" ht="22" customHeight="1" spans="1:8" x14ac:dyDescent="0.25">
      <c r="A111" s="3" t="s">
        <v>12</v>
      </c>
      <c r="B111" s="3">
        <v>150</v>
      </c>
      <c r="C111" s="3">
        <v>0</v>
      </c>
      <c r="D111" s="3">
        <v>20</v>
      </c>
      <c r="E111" s="4">
        <f t="shared" si="0"/>
        <v>130</v>
      </c>
      <c r="F111" s="3" t="str">
        <f t="shared" si="1"/>
        <v>OK</v>
      </c>
      <c r="G111" s="3" t="s">
        <v>18</v>
      </c>
      <c r="H111">
        <f>B111+$C$6+$D111+E$6</f>
        <v>150</v>
      </c>
    </row>
    <row r="112" ht="22" customHeight="1" spans="1:8" x14ac:dyDescent="0.25">
      <c r="A112" s="3" t="s">
        <v>12</v>
      </c>
      <c r="B112" s="3">
        <v>200</v>
      </c>
      <c r="C112" s="3">
        <v>0</v>
      </c>
      <c r="D112" s="3">
        <v>12</v>
      </c>
      <c r="E112" s="4">
        <f t="shared" si="0"/>
        <v>188</v>
      </c>
      <c r="F112" s="3" t="str">
        <f t="shared" si="1"/>
        <v>OK</v>
      </c>
      <c r="G112" s="3" t="s">
        <v>19</v>
      </c>
      <c r="H112">
        <f>B112+$C$6+$D112+E$6</f>
        <v>200</v>
      </c>
    </row>
  </sheetData>
  <mergeCells count="1">
    <mergeCell ref="A1:G1"/>
  </mergeCells>
  <conditionalFormatting sqref="F110:F112">
    <cfRule type="expression" dxfId="0" priority="1">
      <formula>F110="Past Due"</formula>
    </cfRule>
  </conditionalFormatting>
  <dataValidations count="2">
    <dataValidation type="list" sqref="F110:F112">
      <formula1>"Needs Date,Past Due,Due Today,Due Soon,OK"</formula1>
    </dataValidation>
    <dataValidation type="list" sqref="F6">
      <formula1>"Needs Date,Past Due,Due Today,Due Soon,OK"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sheetData>
    <row r="2" spans="1:10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5</v>
      </c>
      <c r="I2" s="2" t="s">
        <v>27</v>
      </c>
      <c r="J2" s="2" t="s">
        <v>28</v>
      </c>
    </row>
    <row r="3" spans="1:10" x14ac:dyDescent="0.25">
      <c r="A3" t="s">
        <v>29</v>
      </c>
      <c r="B3" t="s">
        <v>30</v>
      </c>
      <c r="C3" t="s">
        <v>31</v>
      </c>
      <c r="D3" s="6">
        <v>46204.5</v>
      </c>
      <c r="E3" s="6">
        <v>46204.5</v>
      </c>
      <c r="F3" t="s">
        <v>32</v>
      </c>
      <c r="G3" t="s">
        <v>33</v>
      </c>
      <c r="H3" t="s">
        <v>12</v>
      </c>
      <c r="I3" t="s">
        <v>19</v>
      </c>
      <c r="J3" t="s">
        <v>34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s="7" t="s">
        <v>35</v>
      </c>
    </row>
    <row r="3" spans="1:3" x14ac:dyDescent="0.25">
      <c r="A3" t="s">
        <v>36</v>
      </c>
      <c r="B3">
        <f>1+1</f>
        <v>2</v>
      </c>
    </row>
  </sheetData>
  <dataValidations count="1">
    <dataValidation type="list" sqref="C3">
      <formula1>"Alpha,Beta"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Pm Tracker</vt:lpstr>
      <vt:lpstr>PMHistory</vt:lpstr>
      <vt:lpstr>Reference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 automated sanitized shared-formula 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