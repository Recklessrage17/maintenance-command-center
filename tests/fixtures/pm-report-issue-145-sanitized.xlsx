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Pm Tracker" state="visible" r:id="rId4"/>
    <sheet sheetId="2" name="PMHistory" state="visible" r:id="rId5"/>
    <sheet sheetId="3" name="Reference Only" state="visible" r:id="rId6"/>
  </sheets>
  <definedNames>
    <definedName name="_xlnm.Print_Area" localSheetId="0">'Machine Pm Tracker'!$A1:$H108</definedName>
    <definedName name="_xlnm.Print_Area" localSheetId="2">'Reference Only'!$A1:$C5</definedName>
  </definedNames>
  <calcPr calcId="171027"/>
</workbook>
</file>

<file path=xl/sharedStrings.xml><?xml version="1.0" encoding="utf-8"?>
<sst xmlns="http://schemas.openxmlformats.org/spreadsheetml/2006/main" count="64" uniqueCount="40">
  <si>
    <t>SANITIZED ISSUE 145 PM TRACKER</t>
  </si>
  <si>
    <t>Structural regression data only</t>
  </si>
  <si>
    <t>Press:</t>
  </si>
  <si>
    <t>40</t>
  </si>
  <si>
    <t/>
  </si>
  <si>
    <t>Sanitized Press 40</t>
  </si>
  <si>
    <t>Interval Type</t>
  </si>
  <si>
    <t>Interval Cycles</t>
  </si>
  <si>
    <t>Last Completed Date / Last hourly</t>
  </si>
  <si>
    <t>Today Date / Hourly</t>
  </si>
  <si>
    <t>Due Date</t>
  </si>
  <si>
    <t>Status</t>
  </si>
  <si>
    <t>Task Description</t>
  </si>
  <si>
    <t>Days</t>
  </si>
  <si>
    <t>Inspect guarded connections</t>
  </si>
  <si>
    <t>Hourly</t>
  </si>
  <si>
    <t>Lubricate sanitized press</t>
  </si>
  <si>
    <t>45</t>
  </si>
  <si>
    <t>Sanitized Press 45</t>
  </si>
  <si>
    <t>Check and Tighten Electrical Connections</t>
  </si>
  <si>
    <t>Inspect sanitized hydraulic system</t>
  </si>
  <si>
    <t>46</t>
  </si>
  <si>
    <t>Sanitized Press 46</t>
  </si>
  <si>
    <t>Inspect sanitized safety devices</t>
  </si>
  <si>
    <t>AssetNo</t>
  </si>
  <si>
    <t>Work order #</t>
  </si>
  <si>
    <t>Task Status</t>
  </si>
  <si>
    <t>Start Date</t>
  </si>
  <si>
    <t>End Date</t>
  </si>
  <si>
    <t>Work Order Type</t>
  </si>
  <si>
    <t>Perform By:</t>
  </si>
  <si>
    <t>Task Type</t>
  </si>
  <si>
    <t>Task Note</t>
  </si>
  <si>
    <t>Press 45</t>
  </si>
  <si>
    <t>WO-SAN-145</t>
  </si>
  <si>
    <t>Completed</t>
  </si>
  <si>
    <t>Preventive Maintenance</t>
  </si>
  <si>
    <t>Sanitized Technician</t>
  </si>
  <si>
    <t>Sanitized history row.</t>
  </si>
  <si>
    <t>UNRELATED SANITIZED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</si>
</sst>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b/>
      <color rgb="FF17445C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7445C"/>
      </patternFill>
    </fill>
    <fill>
      <patternFill patternType="solid">
        <fgColor rgb="FFDDECF2"/>
      </patternFill>
    </fill>
    <fill>
      <patternFill patternType="solid">
        <fgColor rgb="FF087E91"/>
      </patternFill>
    </fill>
    <fill>
      <patternFill patternType="solid">
        <fgColor rgb="FF6A3C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E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4" fontId="0" fillId="0" borderId="0" xfId="0" applyNumberFormat="1"/>
    <xf numFmtId="0" fontId="3" fillId="5" borderId="0" xfId="0" applyFont="1" applyFill="1"/>
  </cellXfs>
  <cellStyles count="1">
    <cellStyle name="Normal" xfId="0" builtinId="0"/>
  </cellStyles>
  <dxfs count="1"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ssue145Press40" displayName="Issue145Press40" ref="A5:G7" totalsRowShown="1" headerRowCount="1">
  <autoFilter ref="A5:G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nterval Type" totalsRowLabel="Total"/>
    <tableColumn id="2" name="Interval Cycles" totalsRowFunction="none"/>
    <tableColumn id="3" name="Last Completed Date / Last hourly" totalsRowFunction="none"/>
    <tableColumn id="4" name="Today Date / Hourly" totalsRowFunction="none"/>
    <tableColumn id="5" name="Due Date" totalsRowFunction="none"/>
    <tableColumn id="6" name="Status" totalsRowFunction="none"/>
    <tableColumn id="7" name="Task Descriptio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Issue145Press45" displayName="Issue145Press45" ref="A97:G99" totalsRowShown="1" headerRowCount="1">
  <autoFilter ref="A97:G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nterval Type" totalsRowLabel="Total"/>
    <tableColumn id="2" name="Interval Cycles" totalsRowFunction="none"/>
    <tableColumn id="3" name="Last Completed Date / Last hourly" totalsRowFunction="none"/>
    <tableColumn id="4" name="Today Date / Hourly" totalsRowFunction="none"/>
    <tableColumn id="5" name="Due Date" totalsRowFunction="none"/>
    <tableColumn id="6" name="Status" totalsRowFunction="none"/>
    <tableColumn id="7" name="Task Description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Issue145Press46" displayName="Issue145Press46" ref="A107:G108" totalsRowShown="1" headerRowCount="1">
  <autoFilter ref="A107:G1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nterval Type" totalsRowLabel="Total"/>
    <tableColumn id="2" name="Interval Cycles" totalsRowFunction="none"/>
    <tableColumn id="3" name="Last Completed Date / Last hourly" totalsRowFunction="none"/>
    <tableColumn id="4" name="Today Date / Hourly" totalsRowFunction="none"/>
    <tableColumn id="5" name="Due Date" totalsRowFunction="none"/>
    <tableColumn id="6" name="Status" totalsRowFunction="none"/>
    <tableColumn id="7" name="Task Description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Issue145History" displayName="Issue145History" ref="A2:J3" totalsRowShown="1" headerRowCount="1">
  <autoFilter ref="A2:J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AssetNo" totalsRowLabel="Total"/>
    <tableColumn id="2" name="Work order #" totalsRowFunction="none"/>
    <tableColumn id="3" name="Task Status" totalsRowFunction="none"/>
    <tableColumn id="4" name="Start Date" totalsRowFunction="none"/>
    <tableColumn id="5" name="End Date" totalsRowFunction="none"/>
    <tableColumn id="6" name="Work Order Type" totalsRowFunction="none"/>
    <tableColumn id="7" name="Perform By:" totalsRowFunction="none"/>
    <tableColumn id="8" name="Interval Type" totalsRowFunction="none"/>
    <tableColumn id="9" name="Task Type" totalsRowFunction="none"/>
    <tableColumn id="10" name="Task Not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PDF - Work orders/Press 45/WO-SAN-145.pdf" TargetMode="Externa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8"/>
  <sheetViews>
    <sheetView workbookViewId="0">
      <pane ySplit="1" topLeftCell="A2" activePane="bottomLeft" state="frozen"/>
      <selection pane="bottomLeft"/>
    </sheetView>
  </sheetViews>
  <sheetFormatPr defaultRowHeight="19" outlineLevelRow="0" outlineLevelCol="0" x14ac:dyDescent="55" customHeight="1"/>
  <cols>
    <col min="1" max="1" width="16" customWidth="1"/>
    <col min="2" max="2" width="18" customWidth="1"/>
    <col min="3" max="4" width="24" customWidth="1"/>
    <col min="5" max="6" width="18" customWidth="1"/>
    <col min="7" max="7" width="42" customWidth="1"/>
    <col min="8" max="8" width="16" hidden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t="s">
        <v>1</v>
      </c>
    </row>
    <row r="4" spans="1:4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7" s="3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ht="22" customHeight="1" spans="1:8" x14ac:dyDescent="0.25">
      <c r="A6" s="4" t="s">
        <v>13</v>
      </c>
      <c r="B6" s="4">
        <v>30</v>
      </c>
      <c r="C6" s="5">
        <v>45536</v>
      </c>
      <c r="D6" s="5">
        <v>45550</v>
      </c>
      <c r="E6" s="5">
        <f>C6+B6</f>
        <v>45566</v>
      </c>
      <c r="F6" s="4" t="str">
        <f>IF(E6-D6&lt;0,"Overdue",IF(E6-D6=0,"Due Now",IF(E6-D6&lt;=14,"Due Soon","Current")))</f>
        <v>Current</v>
      </c>
      <c r="G6" s="4" t="s">
        <v>14</v>
      </c>
      <c r="H6" t="str">
        <f>B6&amp;"-"&amp;G6</f>
        <v>SANITIZED-6</v>
      </c>
    </row>
    <row r="7" ht="22" customHeight="1" spans="1:8" x14ac:dyDescent="0.25">
      <c r="A7" s="4" t="s">
        <v>15</v>
      </c>
      <c r="B7" s="4">
        <v>500</v>
      </c>
      <c r="C7" s="6">
        <v>1000</v>
      </c>
      <c r="D7" s="6">
        <v>1100</v>
      </c>
      <c r="E7" s="6">
        <f>IF(OR(B7="",C7="",D7=""),"",B7-(D7-C7))</f>
        <v>400</v>
      </c>
      <c r="F7" s="4" t="str">
        <f>IF(E7="","Needs Date",IF(E7&lt;0,"Past Due",IF(E7=0,"Due Today",IF(E7&lt;=7,"Due Soon","OK"))))</f>
        <v>OK</v>
      </c>
      <c r="G7" s="4" t="s">
        <v>16</v>
      </c>
      <c r="H7" t="str">
        <f>B7&amp;"-"&amp;G7</f>
        <v>SANITIZED-7</v>
      </c>
    </row>
    <row r="96" spans="1:4" s="2" customFormat="1" x14ac:dyDescent="0.25">
      <c r="A96" s="2" t="s">
        <v>2</v>
      </c>
      <c r="B96" s="2" t="s">
        <v>17</v>
      </c>
      <c r="C96" s="2" t="s">
        <v>4</v>
      </c>
      <c r="D96" s="2" t="s">
        <v>18</v>
      </c>
    </row>
    <row r="97" spans="1:7" s="3" customFormat="1" x14ac:dyDescent="0.25">
      <c r="A97" s="3" t="s">
        <v>6</v>
      </c>
      <c r="B97" s="3" t="s">
        <v>7</v>
      </c>
      <c r="C97" s="3" t="s">
        <v>8</v>
      </c>
      <c r="D97" s="3" t="s">
        <v>9</v>
      </c>
      <c r="E97" s="3" t="s">
        <v>10</v>
      </c>
      <c r="F97" s="3" t="s">
        <v>11</v>
      </c>
      <c r="G97" s="3" t="s">
        <v>12</v>
      </c>
    </row>
    <row r="98" ht="22" customHeight="1" spans="1:8" x14ac:dyDescent="0.25">
      <c r="A98" s="4" t="s">
        <v>13</v>
      </c>
      <c r="B98" s="4">
        <v>30</v>
      </c>
      <c r="C98" s="5">
        <v>45536</v>
      </c>
      <c r="D98" s="5">
        <v>45550</v>
      </c>
      <c r="E98" s="5">
        <f>C98+B98</f>
        <v>45566</v>
      </c>
      <c r="F98" s="4" t="str">
        <f>IF(E98-D98&lt;0,"Overdue",IF(E98-D98=0,"Due Now",IF(E98-D98&lt;=14,"Due Soon","Current")))</f>
        <v>Current</v>
      </c>
      <c r="G98" s="4" t="s">
        <v>19</v>
      </c>
      <c r="H98" t="str">
        <f>B98&amp;"-"&amp;G98</f>
        <v>SANITIZED-98</v>
      </c>
    </row>
    <row r="99" ht="22" customHeight="1" spans="1:8" x14ac:dyDescent="0.25">
      <c r="A99" s="4" t="s">
        <v>15</v>
      </c>
      <c r="B99" s="4">
        <v>1000</v>
      </c>
      <c r="C99" s="6">
        <v>5000</v>
      </c>
      <c r="D99" s="6">
        <v>5100</v>
      </c>
      <c r="E99" s="6">
        <f>IF(OR(B99="",C99="",D99=""),"",B99-(D99-C99))</f>
        <v>900</v>
      </c>
      <c r="F99" s="4" t="str">
        <f>IF(E99="","Needs Date",IF(E99&lt;0,"Past Due",IF(E99=0,"Due Today",IF(E99&lt;=7,"Due Soon","OK"))))</f>
        <v>OK</v>
      </c>
      <c r="G99" s="4" t="s">
        <v>20</v>
      </c>
      <c r="H99" t="str">
        <f>B99&amp;"-"&amp;G99</f>
        <v>SANITIZED-99</v>
      </c>
    </row>
    <row r="106" spans="1:4" s="2" customFormat="1" x14ac:dyDescent="0.25">
      <c r="A106" s="2" t="s">
        <v>2</v>
      </c>
      <c r="B106" s="2" t="s">
        <v>21</v>
      </c>
      <c r="C106" s="2" t="s">
        <v>4</v>
      </c>
      <c r="D106" s="2" t="s">
        <v>22</v>
      </c>
    </row>
    <row r="107" spans="1:7" s="3" customFormat="1" x14ac:dyDescent="0.25">
      <c r="A107" s="3" t="s">
        <v>6</v>
      </c>
      <c r="B107" s="3" t="s">
        <v>7</v>
      </c>
      <c r="C107" s="3" t="s">
        <v>8</v>
      </c>
      <c r="D107" s="3" t="s">
        <v>9</v>
      </c>
      <c r="E107" s="3" t="s">
        <v>10</v>
      </c>
      <c r="F107" s="3" t="s">
        <v>11</v>
      </c>
      <c r="G107" s="3" t="s">
        <v>12</v>
      </c>
    </row>
    <row r="108" ht="22" customHeight="1" spans="1:8" x14ac:dyDescent="0.25">
      <c r="A108" s="4" t="s">
        <v>13</v>
      </c>
      <c r="B108" s="4">
        <v>60</v>
      </c>
      <c r="C108" s="5">
        <v>45520</v>
      </c>
      <c r="D108" s="5">
        <v>45550</v>
      </c>
      <c r="E108" s="5">
        <f>C108+B108</f>
        <v>45580</v>
      </c>
      <c r="F108" s="4" t="str">
        <f>IF(E108-D108&lt;0,"Overdue",IF(E108-D108=0,"Due Now",IF(E108-D108&lt;=14,"Due Soon","Current")))</f>
        <v>Current</v>
      </c>
      <c r="G108" s="4" t="s">
        <v>23</v>
      </c>
      <c r="H108" t="str">
        <f>B108&amp;"-"&amp;G108</f>
        <v>SANITIZED-108</v>
      </c>
    </row>
  </sheetData>
  <mergeCells count="1">
    <mergeCell ref="A1:G1"/>
  </mergeCells>
  <conditionalFormatting sqref="F6:F7 F98:F99 F108">
    <cfRule type="expression" dxfId="0" priority="1">
      <formula>F6="Past Due"</formula>
    </cfRule>
  </conditionalFormatting>
  <dataValidations count="3">
    <dataValidation type="list" sqref="F108">
      <formula1>"Needs Date,Past Due,Due Today,Due Soon,OK"</formula1>
    </dataValidation>
    <dataValidation type="list" sqref="F6:F7">
      <formula1>"Needs Date,Past Due,Due Today,Due Soon,OK"</formula1>
    </dataValidation>
    <dataValidation type="list" sqref="F98:F99">
      <formula1>"Needs Date,Past Due,Due Today,Due Soon,OK"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sheetData>
    <row r="2" spans="1:10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6</v>
      </c>
      <c r="I2" t="s">
        <v>31</v>
      </c>
      <c r="J2" t="s">
        <v>32</v>
      </c>
    </row>
    <row r="3" spans="1:10" x14ac:dyDescent="0.25">
      <c r="A3" t="s">
        <v>33</v>
      </c>
      <c r="B3" t="s">
        <v>34</v>
      </c>
      <c r="C3" t="s">
        <v>35</v>
      </c>
      <c r="D3" s="7">
        <v>46266.5</v>
      </c>
      <c r="E3" s="7">
        <v>46266.5</v>
      </c>
      <c r="F3" t="s">
        <v>36</v>
      </c>
      <c r="G3" t="s">
        <v>37</v>
      </c>
      <c r="H3" t="s">
        <v>13</v>
      </c>
      <c r="I3" t="s">
        <v>19</v>
      </c>
      <c r="J3" t="s">
        <v>38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" x14ac:dyDescent="0.25">
      <c r="A1" s="8" t="s">
        <v>39</v>
      </c>
    </row>
    <row r="3" spans="2:3" x14ac:dyDescent="0.25">
      <c r="B3">
        <f>1+1</f>
        <v>2</v>
      </c>
    </row>
  </sheetData>
  <dataValidations count="1">
    <dataValidation type="list" sqref="C3">
      <formula1>"Alpha,Beta"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Pm Tracker</vt:lpstr>
      <vt:lpstr>PMHistory</vt:lpstr>
      <vt:lpstr>Reference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 Issue 145 sanitized regression fixture</dc:creator>
  <dc:title/>
  <dc:subject/>
  <dc:description/>
  <cp:keywords/>
  <cp:category/>
  <cp:lastModifiedBy>Unknown</cp:lastModifiedBy>
  <dcterms:created xsi:type="dcterms:W3CDTF">2026-09-01T00:00:00Z</dcterms:created>
  <dcterms:modified xsi:type="dcterms:W3CDTF">2026-09-01T00:00:00Z</dcterms:modified>
</cp:coreProperties>
</file>